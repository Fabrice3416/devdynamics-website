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ite caisse" sheetId="1" state="visible" r:id="rId1"/>
    <sheet name="Notice" sheetId="2" state="visible" r:id="rId2"/>
  </sheets>
  <definedNames>
    <definedName name="_xlnm.Print_Area" localSheetId="0">'Petite caisse'!$A$1:$I$61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;-#,##0.00;;@"/>
  </numFmts>
  <fonts count="10">
    <font>
      <name val="Calibri"/>
      <family val="2"/>
      <color theme="1"/>
      <sz val="11"/>
      <scheme val="minor"/>
    </font>
    <font>
      <name val="Palatino Linotype"/>
      <b val="1"/>
      <color rgb="004C5A47"/>
      <sz val="12"/>
    </font>
    <font>
      <name val="Candara"/>
      <color rgb="006B6A66"/>
      <sz val="8.5"/>
    </font>
    <font>
      <name val="Candara"/>
      <color rgb="002A2A28"/>
      <sz val="10"/>
    </font>
    <font>
      <name val="Palatino Linotype"/>
      <b val="1"/>
      <color rgb="004C5A47"/>
      <sz val="16"/>
    </font>
    <font>
      <name val="Candara"/>
      <b val="1"/>
      <color rgb="002A2A28"/>
      <sz val="9.5"/>
    </font>
    <font>
      <name val="Candara"/>
      <b val="1"/>
      <color rgb="002A2A28"/>
      <sz val="9"/>
    </font>
    <font>
      <name val="Candara"/>
      <i val="1"/>
      <color rgb="006B6A66"/>
      <sz val="10"/>
    </font>
    <font>
      <name val="Candara"/>
      <b val="1"/>
      <color rgb="002A2A28"/>
      <sz val="10"/>
    </font>
    <font>
      <name val="Palatino Linotype"/>
      <b val="1"/>
      <color rgb="004C5A47"/>
      <sz val="11.5"/>
    </font>
  </fonts>
  <fills count="4">
    <fill>
      <patternFill/>
    </fill>
    <fill>
      <patternFill patternType="gray125"/>
    </fill>
    <fill>
      <patternFill patternType="solid">
        <fgColor rgb="00FAF8F3"/>
      </patternFill>
    </fill>
    <fill>
      <patternFill patternType="solid">
        <fgColor rgb="00EFEDE8"/>
      </patternFill>
    </fill>
  </fills>
  <borders count="4">
    <border>
      <left/>
      <right/>
      <top/>
      <bottom/>
      <diagonal/>
    </border>
    <border>
      <left style="thin">
        <color rgb="00C9C4BA"/>
      </left>
      <right style="thin">
        <color rgb="00C9C4BA"/>
      </right>
      <top style="thin">
        <color rgb="00C9C4BA"/>
      </top>
      <bottom style="thin">
        <color rgb="00C9C4BA"/>
      </bottom>
    </border>
    <border>
      <bottom style="medium">
        <color rgb="004C5A47"/>
      </bottom>
    </border>
    <border>
      <left style="thin">
        <color rgb="00C9C4BA"/>
      </left>
      <right style="thin">
        <color rgb="00C9C4BA"/>
      </right>
      <top style="thin">
        <color rgb="00C9C4BA"/>
      </top>
      <bottom style="medium">
        <color rgb="004C5A47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164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5" fontId="3" fillId="2" borderId="1" applyAlignment="1" pivotButton="0" quotePrefix="0" xfId="0">
      <alignment horizontal="right" vertical="center"/>
    </xf>
    <xf numFmtId="0" fontId="6" fillId="3" borderId="3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5" fontId="8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 wrapText="1"/>
    </xf>
    <xf numFmtId="165" fontId="8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9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4305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1.5" customWidth="1" min="1" max="1"/>
    <col width="11.5" customWidth="1" min="2" max="2"/>
    <col width="34.5" customWidth="1" min="3" max="3"/>
    <col width="9.5" customWidth="1" min="4" max="4"/>
    <col width="13" customWidth="1" min="5" max="5"/>
    <col width="13" customWidth="1" min="6" max="6"/>
    <col width="14" customWidth="1" min="7" max="7"/>
    <col width="10" customWidth="1" min="8" max="8"/>
    <col width="26" customWidth="1" min="9" max="9"/>
  </cols>
  <sheetData>
    <row r="1" ht="20" customHeight="1">
      <c r="C1" s="1" t="inlineStr">
        <is>
          <t>DÉVELOPPEMENT ET DYNAMISME</t>
        </is>
      </c>
      <c r="G1" s="2" t="inlineStr">
        <is>
          <t>Exemplaire :</t>
        </is>
      </c>
      <c r="H1" s="3" t="n"/>
      <c r="I1" s="4" t="n"/>
    </row>
    <row r="2" ht="15" customHeight="1">
      <c r="C2" s="5" t="inlineStr">
        <is>
          <t>Association éducative et technologique à but non lucratif · Cap-Haïtien, Haïti · dev-dynamics.org</t>
        </is>
      </c>
    </row>
    <row r="3" ht="20" customHeight="1">
      <c r="A3" s="5" t="inlineStr">
        <is>
          <t>Projet KèsKlè — Programme d'Appui aux Initiatives Émergentes de la Société Civile (PAIESC), financé par l'Union européenne</t>
        </is>
      </c>
      <c r="G3" s="2" t="inlineStr">
        <is>
          <t>N° de fiche :</t>
        </is>
      </c>
      <c r="H3" s="3" t="n"/>
      <c r="I3" s="4" t="n"/>
    </row>
    <row r="4" ht="20" customHeight="1">
      <c r="A4" s="6" t="inlineStr">
        <is>
          <t>Contrat de subvention n° :</t>
        </is>
      </c>
      <c r="C4" s="7" t="n"/>
      <c r="D4" s="4" t="n"/>
      <c r="E4" s="4" t="n"/>
      <c r="F4" s="4" t="n"/>
      <c r="G4" s="2" t="inlineStr">
        <is>
          <t>Édité le :</t>
        </is>
      </c>
      <c r="H4" s="8" t="n"/>
      <c r="I4" s="4" t="n"/>
    </row>
    <row r="5" ht="4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</row>
    <row r="6" ht="26" customHeight="1">
      <c r="A6" s="10" t="inlineStr">
        <is>
          <t>FICHE DE SUIVI — PETITE CAISSE</t>
        </is>
      </c>
    </row>
    <row r="7">
      <c r="A7" s="11" t="inlineStr">
        <is>
          <t>Journal de caisse et arrêté · Fonds fixe</t>
        </is>
      </c>
    </row>
    <row r="9" ht="27" customHeight="1">
      <c r="A9" s="12" t="inlineStr">
        <is>
          <t>Nom de l'organisation</t>
        </is>
      </c>
      <c r="B9" s="13" t="n"/>
      <c r="C9" s="14" t="inlineStr">
        <is>
          <t>DÉVELOPPEMENT ET DYNAMISME</t>
        </is>
      </c>
      <c r="D9" s="15" t="n"/>
      <c r="E9" s="12" t="inlineStr">
        <is>
          <t>Période (du … au …)</t>
        </is>
      </c>
      <c r="F9" s="13" t="n"/>
      <c r="G9" s="7" t="n"/>
      <c r="H9" s="4" t="n"/>
      <c r="I9" s="4" t="n"/>
    </row>
    <row r="10" ht="27" customHeight="1">
      <c r="A10" s="12" t="inlineStr">
        <is>
          <t>Intitulé du projet</t>
        </is>
      </c>
      <c r="B10" s="13" t="n"/>
      <c r="C10" s="14" t="inlineStr">
        <is>
          <t>KèsKlè</t>
        </is>
      </c>
      <c r="D10" s="15" t="n"/>
      <c r="E10" s="12" t="inlineStr">
        <is>
          <t>Devise</t>
        </is>
      </c>
      <c r="F10" s="13" t="n"/>
      <c r="G10" s="14" t="inlineStr">
        <is>
          <t>HTG (gourde)</t>
        </is>
      </c>
      <c r="H10" s="15" t="n"/>
      <c r="I10" s="15" t="n"/>
    </row>
    <row r="11" ht="27" customHeight="1">
      <c r="A11" s="12" t="inlineStr">
        <is>
          <t>Responsable (RAF)</t>
        </is>
      </c>
      <c r="B11" s="13" t="n"/>
      <c r="C11" s="7" t="n"/>
      <c r="D11" s="4" t="n"/>
      <c r="E11" s="12" t="inlineStr">
        <is>
          <t>Détenteur de la caisse</t>
        </is>
      </c>
      <c r="F11" s="13" t="n"/>
      <c r="G11" s="7" t="n"/>
      <c r="H11" s="4" t="n"/>
      <c r="I11" s="4" t="n"/>
    </row>
    <row r="12" ht="27" customHeight="1">
      <c r="A12" s="12" t="inlineStr">
        <is>
          <t>Montant initial de la caisse (fonds fixe)</t>
        </is>
      </c>
      <c r="B12" s="13" t="n"/>
      <c r="C12" s="16" t="n"/>
      <c r="D12" s="4" t="n"/>
      <c r="E12" s="12" t="inlineStr">
        <is>
          <t>Plafond par dépense en espèces</t>
        </is>
      </c>
      <c r="F12" s="13" t="n"/>
      <c r="G12" s="16" t="n"/>
      <c r="H12" s="4" t="n"/>
      <c r="I12" s="4" t="n"/>
    </row>
    <row r="14" ht="30" customHeight="1">
      <c r="A14" s="17" t="inlineStr">
        <is>
          <t>Date</t>
        </is>
      </c>
      <c r="B14" s="17" t="inlineStr">
        <is>
          <t>N° pièce</t>
        </is>
      </c>
      <c r="C14" s="17" t="inlineStr">
        <is>
          <t>Intitulé de la dépense</t>
        </is>
      </c>
      <c r="D14" s="17" t="inlineStr">
        <is>
          <t>Ligne budg.</t>
        </is>
      </c>
      <c r="E14" s="17" t="inlineStr">
        <is>
          <t>Entrée (HTG)</t>
        </is>
      </c>
      <c r="F14" s="17" t="inlineStr">
        <is>
          <t>Sortie (HTG)</t>
        </is>
      </c>
      <c r="G14" s="17" t="inlineStr">
        <is>
          <t>Balance (HTG)</t>
        </is>
      </c>
      <c r="H14" s="17" t="inlineStr">
        <is>
          <t>Dép. reportée</t>
        </is>
      </c>
      <c r="I14" s="17" t="inlineStr">
        <is>
          <t>Observations</t>
        </is>
      </c>
    </row>
    <row r="15">
      <c r="A15" s="14" t="n"/>
      <c r="B15" s="14" t="n"/>
      <c r="C15" s="18" t="inlineStr">
        <is>
          <t>Solde initial (report ou fonds fixe)</t>
        </is>
      </c>
      <c r="D15" s="14" t="n"/>
      <c r="E15" s="14" t="n"/>
      <c r="F15" s="14" t="n"/>
      <c r="G15" s="19">
        <f>C12</f>
        <v/>
      </c>
      <c r="H15" s="14" t="n"/>
      <c r="I15" s="14" t="n"/>
    </row>
    <row r="16" ht="17" customHeight="1">
      <c r="A16" s="20" t="n"/>
      <c r="B16" s="21" t="n"/>
      <c r="C16" s="7" t="n"/>
      <c r="D16" s="21" t="n"/>
      <c r="E16" s="16" t="n"/>
      <c r="F16" s="16" t="n"/>
      <c r="G16" s="22">
        <f>IF(AND(E16="",F16=""),"",$G$15+SUM($E$16:E16)-SUM($F$16:F16))</f>
        <v/>
      </c>
      <c r="H16" s="21" t="n"/>
      <c r="I16" s="7" t="n"/>
    </row>
    <row r="17" ht="17" customHeight="1">
      <c r="A17" s="20" t="n"/>
      <c r="B17" s="21" t="n"/>
      <c r="C17" s="7" t="n"/>
      <c r="D17" s="21" t="n"/>
      <c r="E17" s="16" t="n"/>
      <c r="F17" s="16" t="n"/>
      <c r="G17" s="22">
        <f>IF(AND(E17="",F17=""),"",$G$15+SUM($E$16:E17)-SUM($F$16:F17))</f>
        <v/>
      </c>
      <c r="H17" s="21" t="n"/>
      <c r="I17" s="7" t="n"/>
    </row>
    <row r="18" ht="17" customHeight="1">
      <c r="A18" s="20" t="n"/>
      <c r="B18" s="21" t="n"/>
      <c r="C18" s="7" t="n"/>
      <c r="D18" s="21" t="n"/>
      <c r="E18" s="16" t="n"/>
      <c r="F18" s="16" t="n"/>
      <c r="G18" s="22">
        <f>IF(AND(E18="",F18=""),"",$G$15+SUM($E$16:E18)-SUM($F$16:F18))</f>
        <v/>
      </c>
      <c r="H18" s="21" t="n"/>
      <c r="I18" s="7" t="n"/>
    </row>
    <row r="19" ht="17" customHeight="1">
      <c r="A19" s="20" t="n"/>
      <c r="B19" s="21" t="n"/>
      <c r="C19" s="7" t="n"/>
      <c r="D19" s="21" t="n"/>
      <c r="E19" s="16" t="n"/>
      <c r="F19" s="16" t="n"/>
      <c r="G19" s="22">
        <f>IF(AND(E19="",F19=""),"",$G$15+SUM($E$16:E19)-SUM($F$16:F19))</f>
        <v/>
      </c>
      <c r="H19" s="21" t="n"/>
      <c r="I19" s="7" t="n"/>
    </row>
    <row r="20" ht="17" customHeight="1">
      <c r="A20" s="20" t="n"/>
      <c r="B20" s="21" t="n"/>
      <c r="C20" s="7" t="n"/>
      <c r="D20" s="21" t="n"/>
      <c r="E20" s="16" t="n"/>
      <c r="F20" s="16" t="n"/>
      <c r="G20" s="22">
        <f>IF(AND(E20="",F20=""),"",$G$15+SUM($E$16:E20)-SUM($F$16:F20))</f>
        <v/>
      </c>
      <c r="H20" s="21" t="n"/>
      <c r="I20" s="7" t="n"/>
    </row>
    <row r="21" ht="17" customHeight="1">
      <c r="A21" s="20" t="n"/>
      <c r="B21" s="21" t="n"/>
      <c r="C21" s="7" t="n"/>
      <c r="D21" s="21" t="n"/>
      <c r="E21" s="16" t="n"/>
      <c r="F21" s="16" t="n"/>
      <c r="G21" s="22">
        <f>IF(AND(E21="",F21=""),"",$G$15+SUM($E$16:E21)-SUM($F$16:F21))</f>
        <v/>
      </c>
      <c r="H21" s="21" t="n"/>
      <c r="I21" s="7" t="n"/>
    </row>
    <row r="22" ht="17" customHeight="1">
      <c r="A22" s="20" t="n"/>
      <c r="B22" s="21" t="n"/>
      <c r="C22" s="7" t="n"/>
      <c r="D22" s="21" t="n"/>
      <c r="E22" s="16" t="n"/>
      <c r="F22" s="16" t="n"/>
      <c r="G22" s="22">
        <f>IF(AND(E22="",F22=""),"",$G$15+SUM($E$16:E22)-SUM($F$16:F22))</f>
        <v/>
      </c>
      <c r="H22" s="21" t="n"/>
      <c r="I22" s="7" t="n"/>
    </row>
    <row r="23" ht="17" customHeight="1">
      <c r="A23" s="20" t="n"/>
      <c r="B23" s="21" t="n"/>
      <c r="C23" s="7" t="n"/>
      <c r="D23" s="21" t="n"/>
      <c r="E23" s="16" t="n"/>
      <c r="F23" s="16" t="n"/>
      <c r="G23" s="22">
        <f>IF(AND(E23="",F23=""),"",$G$15+SUM($E$16:E23)-SUM($F$16:F23))</f>
        <v/>
      </c>
      <c r="H23" s="21" t="n"/>
      <c r="I23" s="7" t="n"/>
    </row>
    <row r="24" ht="17" customHeight="1">
      <c r="A24" s="20" t="n"/>
      <c r="B24" s="21" t="n"/>
      <c r="C24" s="7" t="n"/>
      <c r="D24" s="21" t="n"/>
      <c r="E24" s="16" t="n"/>
      <c r="F24" s="16" t="n"/>
      <c r="G24" s="22">
        <f>IF(AND(E24="",F24=""),"",$G$15+SUM($E$16:E24)-SUM($F$16:F24))</f>
        <v/>
      </c>
      <c r="H24" s="21" t="n"/>
      <c r="I24" s="7" t="n"/>
    </row>
    <row r="25" ht="17" customHeight="1">
      <c r="A25" s="20" t="n"/>
      <c r="B25" s="21" t="n"/>
      <c r="C25" s="7" t="n"/>
      <c r="D25" s="21" t="n"/>
      <c r="E25" s="16" t="n"/>
      <c r="F25" s="16" t="n"/>
      <c r="G25" s="22">
        <f>IF(AND(E25="",F25=""),"",$G$15+SUM($E$16:E25)-SUM($F$16:F25))</f>
        <v/>
      </c>
      <c r="H25" s="21" t="n"/>
      <c r="I25" s="7" t="n"/>
    </row>
    <row r="26" ht="17" customHeight="1">
      <c r="A26" s="20" t="n"/>
      <c r="B26" s="21" t="n"/>
      <c r="C26" s="7" t="n"/>
      <c r="D26" s="21" t="n"/>
      <c r="E26" s="16" t="n"/>
      <c r="F26" s="16" t="n"/>
      <c r="G26" s="22">
        <f>IF(AND(E26="",F26=""),"",$G$15+SUM($E$16:E26)-SUM($F$16:F26))</f>
        <v/>
      </c>
      <c r="H26" s="21" t="n"/>
      <c r="I26" s="7" t="n"/>
    </row>
    <row r="27" ht="17" customHeight="1">
      <c r="A27" s="20" t="n"/>
      <c r="B27" s="21" t="n"/>
      <c r="C27" s="7" t="n"/>
      <c r="D27" s="21" t="n"/>
      <c r="E27" s="16" t="n"/>
      <c r="F27" s="16" t="n"/>
      <c r="G27" s="22">
        <f>IF(AND(E27="",F27=""),"",$G$15+SUM($E$16:E27)-SUM($F$16:F27))</f>
        <v/>
      </c>
      <c r="H27" s="21" t="n"/>
      <c r="I27" s="7" t="n"/>
    </row>
    <row r="28" ht="17" customHeight="1">
      <c r="A28" s="20" t="n"/>
      <c r="B28" s="21" t="n"/>
      <c r="C28" s="7" t="n"/>
      <c r="D28" s="21" t="n"/>
      <c r="E28" s="16" t="n"/>
      <c r="F28" s="16" t="n"/>
      <c r="G28" s="22">
        <f>IF(AND(E28="",F28=""),"",$G$15+SUM($E$16:E28)-SUM($F$16:F28))</f>
        <v/>
      </c>
      <c r="H28" s="21" t="n"/>
      <c r="I28" s="7" t="n"/>
    </row>
    <row r="29" ht="17" customHeight="1">
      <c r="A29" s="20" t="n"/>
      <c r="B29" s="21" t="n"/>
      <c r="C29" s="7" t="n"/>
      <c r="D29" s="21" t="n"/>
      <c r="E29" s="16" t="n"/>
      <c r="F29" s="16" t="n"/>
      <c r="G29" s="22">
        <f>IF(AND(E29="",F29=""),"",$G$15+SUM($E$16:E29)-SUM($F$16:F29))</f>
        <v/>
      </c>
      <c r="H29" s="21" t="n"/>
      <c r="I29" s="7" t="n"/>
    </row>
    <row r="30" ht="17" customHeight="1">
      <c r="A30" s="20" t="n"/>
      <c r="B30" s="21" t="n"/>
      <c r="C30" s="7" t="n"/>
      <c r="D30" s="21" t="n"/>
      <c r="E30" s="16" t="n"/>
      <c r="F30" s="16" t="n"/>
      <c r="G30" s="22">
        <f>IF(AND(E30="",F30=""),"",$G$15+SUM($E$16:E30)-SUM($F$16:F30))</f>
        <v/>
      </c>
      <c r="H30" s="21" t="n"/>
      <c r="I30" s="7" t="n"/>
    </row>
    <row r="31" ht="17" customHeight="1">
      <c r="A31" s="20" t="n"/>
      <c r="B31" s="21" t="n"/>
      <c r="C31" s="7" t="n"/>
      <c r="D31" s="21" t="n"/>
      <c r="E31" s="16" t="n"/>
      <c r="F31" s="16" t="n"/>
      <c r="G31" s="22">
        <f>IF(AND(E31="",F31=""),"",$G$15+SUM($E$16:E31)-SUM($F$16:F31))</f>
        <v/>
      </c>
      <c r="H31" s="21" t="n"/>
      <c r="I31" s="7" t="n"/>
    </row>
    <row r="32" ht="17" customHeight="1">
      <c r="A32" s="20" t="n"/>
      <c r="B32" s="21" t="n"/>
      <c r="C32" s="7" t="n"/>
      <c r="D32" s="21" t="n"/>
      <c r="E32" s="16" t="n"/>
      <c r="F32" s="16" t="n"/>
      <c r="G32" s="22">
        <f>IF(AND(E32="",F32=""),"",$G$15+SUM($E$16:E32)-SUM($F$16:F32))</f>
        <v/>
      </c>
      <c r="H32" s="21" t="n"/>
      <c r="I32" s="7" t="n"/>
    </row>
    <row r="33" ht="17" customHeight="1">
      <c r="A33" s="20" t="n"/>
      <c r="B33" s="21" t="n"/>
      <c r="C33" s="7" t="n"/>
      <c r="D33" s="21" t="n"/>
      <c r="E33" s="16" t="n"/>
      <c r="F33" s="16" t="n"/>
      <c r="G33" s="22">
        <f>IF(AND(E33="",F33=""),"",$G$15+SUM($E$16:E33)-SUM($F$16:F33))</f>
        <v/>
      </c>
      <c r="H33" s="21" t="n"/>
      <c r="I33" s="7" t="n"/>
    </row>
    <row r="34" ht="17" customHeight="1">
      <c r="A34" s="20" t="n"/>
      <c r="B34" s="21" t="n"/>
      <c r="C34" s="7" t="n"/>
      <c r="D34" s="21" t="n"/>
      <c r="E34" s="16" t="n"/>
      <c r="F34" s="16" t="n"/>
      <c r="G34" s="22">
        <f>IF(AND(E34="",F34=""),"",$G$15+SUM($E$16:E34)-SUM($F$16:F34))</f>
        <v/>
      </c>
      <c r="H34" s="21" t="n"/>
      <c r="I34" s="7" t="n"/>
    </row>
    <row r="35" ht="17" customHeight="1">
      <c r="A35" s="20" t="n"/>
      <c r="B35" s="21" t="n"/>
      <c r="C35" s="7" t="n"/>
      <c r="D35" s="21" t="n"/>
      <c r="E35" s="16" t="n"/>
      <c r="F35" s="16" t="n"/>
      <c r="G35" s="22">
        <f>IF(AND(E35="",F35=""),"",$G$15+SUM($E$16:E35)-SUM($F$16:F35))</f>
        <v/>
      </c>
      <c r="H35" s="21" t="n"/>
      <c r="I35" s="7" t="n"/>
    </row>
    <row r="36" ht="17" customHeight="1">
      <c r="A36" s="20" t="n"/>
      <c r="B36" s="21" t="n"/>
      <c r="C36" s="7" t="n"/>
      <c r="D36" s="21" t="n"/>
      <c r="E36" s="16" t="n"/>
      <c r="F36" s="16" t="n"/>
      <c r="G36" s="22">
        <f>IF(AND(E36="",F36=""),"",$G$15+SUM($E$16:E36)-SUM($F$16:F36))</f>
        <v/>
      </c>
      <c r="H36" s="21" t="n"/>
      <c r="I36" s="7" t="n"/>
    </row>
    <row r="37" ht="17" customHeight="1">
      <c r="A37" s="20" t="n"/>
      <c r="B37" s="21" t="n"/>
      <c r="C37" s="7" t="n"/>
      <c r="D37" s="21" t="n"/>
      <c r="E37" s="16" t="n"/>
      <c r="F37" s="16" t="n"/>
      <c r="G37" s="22">
        <f>IF(AND(E37="",F37=""),"",$G$15+SUM($E$16:E37)-SUM($F$16:F37))</f>
        <v/>
      </c>
      <c r="H37" s="21" t="n"/>
      <c r="I37" s="7" t="n"/>
    </row>
    <row r="38" ht="17" customHeight="1">
      <c r="A38" s="20" t="n"/>
      <c r="B38" s="21" t="n"/>
      <c r="C38" s="7" t="n"/>
      <c r="D38" s="21" t="n"/>
      <c r="E38" s="16" t="n"/>
      <c r="F38" s="16" t="n"/>
      <c r="G38" s="22">
        <f>IF(AND(E38="",F38=""),"",$G$15+SUM($E$16:E38)-SUM($F$16:F38))</f>
        <v/>
      </c>
      <c r="H38" s="21" t="n"/>
      <c r="I38" s="7" t="n"/>
    </row>
    <row r="39" ht="17" customHeight="1">
      <c r="A39" s="20" t="n"/>
      <c r="B39" s="21" t="n"/>
      <c r="C39" s="7" t="n"/>
      <c r="D39" s="21" t="n"/>
      <c r="E39" s="16" t="n"/>
      <c r="F39" s="16" t="n"/>
      <c r="G39" s="22">
        <f>IF(AND(E39="",F39=""),"",$G$15+SUM($E$16:E39)-SUM($F$16:F39))</f>
        <v/>
      </c>
      <c r="H39" s="21" t="n"/>
      <c r="I39" s="7" t="n"/>
    </row>
    <row r="40" ht="17" customHeight="1">
      <c r="A40" s="20" t="n"/>
      <c r="B40" s="21" t="n"/>
      <c r="C40" s="7" t="n"/>
      <c r="D40" s="21" t="n"/>
      <c r="E40" s="16" t="n"/>
      <c r="F40" s="16" t="n"/>
      <c r="G40" s="22">
        <f>IF(AND(E40="",F40=""),"",$G$15+SUM($E$16:E40)-SUM($F$16:F40))</f>
        <v/>
      </c>
      <c r="H40" s="21" t="n"/>
      <c r="I40" s="7" t="n"/>
    </row>
    <row r="41" ht="17" customHeight="1">
      <c r="A41" s="20" t="n"/>
      <c r="B41" s="21" t="n"/>
      <c r="C41" s="7" t="n"/>
      <c r="D41" s="21" t="n"/>
      <c r="E41" s="16" t="n"/>
      <c r="F41" s="16" t="n"/>
      <c r="G41" s="22">
        <f>IF(AND(E41="",F41=""),"",$G$15+SUM($E$16:E41)-SUM($F$16:F41))</f>
        <v/>
      </c>
      <c r="H41" s="21" t="n"/>
      <c r="I41" s="7" t="n"/>
    </row>
    <row r="42" ht="17" customHeight="1">
      <c r="A42" s="20" t="n"/>
      <c r="B42" s="21" t="n"/>
      <c r="C42" s="7" t="n"/>
      <c r="D42" s="21" t="n"/>
      <c r="E42" s="16" t="n"/>
      <c r="F42" s="16" t="n"/>
      <c r="G42" s="22">
        <f>IF(AND(E42="",F42=""),"",$G$15+SUM($E$16:E42)-SUM($F$16:F42))</f>
        <v/>
      </c>
      <c r="H42" s="21" t="n"/>
      <c r="I42" s="7" t="n"/>
    </row>
    <row r="43" ht="17" customHeight="1">
      <c r="A43" s="20" t="n"/>
      <c r="B43" s="21" t="n"/>
      <c r="C43" s="7" t="n"/>
      <c r="D43" s="21" t="n"/>
      <c r="E43" s="16" t="n"/>
      <c r="F43" s="16" t="n"/>
      <c r="G43" s="22">
        <f>IF(AND(E43="",F43=""),"",$G$15+SUM($E$16:E43)-SUM($F$16:F43))</f>
        <v/>
      </c>
      <c r="H43" s="21" t="n"/>
      <c r="I43" s="7" t="n"/>
    </row>
    <row r="44" ht="17" customHeight="1">
      <c r="A44" s="20" t="n"/>
      <c r="B44" s="21" t="n"/>
      <c r="C44" s="7" t="n"/>
      <c r="D44" s="21" t="n"/>
      <c r="E44" s="16" t="n"/>
      <c r="F44" s="16" t="n"/>
      <c r="G44" s="22">
        <f>IF(AND(E44="",F44=""),"",$G$15+SUM($E$16:E44)-SUM($F$16:F44))</f>
        <v/>
      </c>
      <c r="H44" s="21" t="n"/>
      <c r="I44" s="7" t="n"/>
    </row>
    <row r="45" ht="17" customHeight="1">
      <c r="A45" s="20" t="n"/>
      <c r="B45" s="21" t="n"/>
      <c r="C45" s="7" t="n"/>
      <c r="D45" s="21" t="n"/>
      <c r="E45" s="16" t="n"/>
      <c r="F45" s="16" t="n"/>
      <c r="G45" s="22">
        <f>IF(AND(E45="",F45=""),"",$G$15+SUM($E$16:E45)-SUM($F$16:F45))</f>
        <v/>
      </c>
      <c r="H45" s="21" t="n"/>
      <c r="I45" s="7" t="n"/>
    </row>
    <row r="46" ht="20" customHeight="1">
      <c r="A46" s="23" t="inlineStr">
        <is>
          <t>TOTAUX DE LA PÉRIODE</t>
        </is>
      </c>
      <c r="B46" s="13" t="n"/>
      <c r="C46" s="13" t="n"/>
      <c r="D46" s="13" t="n"/>
      <c r="E46" s="24">
        <f>SUM(E16:E45)</f>
        <v/>
      </c>
      <c r="F46" s="24">
        <f>SUM(F16:F45)</f>
        <v/>
      </c>
      <c r="G46" s="24">
        <f>G15+E46-F46</f>
        <v/>
      </c>
      <c r="H46" s="25" t="n"/>
      <c r="I46" s="13" t="n"/>
    </row>
    <row r="48">
      <c r="A48" s="26" t="inlineStr">
        <is>
          <t>Solde de caisse à la date du :</t>
        </is>
      </c>
      <c r="D48" s="20" t="n"/>
      <c r="E48" s="27" t="inlineStr">
        <is>
          <t>Solde de caisse (HTG) :</t>
        </is>
      </c>
      <c r="G48" s="28">
        <f>G46</f>
        <v/>
      </c>
    </row>
    <row r="49" ht="34" customHeight="1">
      <c r="A49" s="29" t="inlineStr">
        <is>
          <t>Toute dépense en espèces est appuyée d'un justificatif et d'un reçu ; aucune dépense ne dépasse le plafond unitaire ; le renflouement n'intervient qu'après justification des dépenses antérieures et arrêté de caisse daté et signé. Les chèques de renflouement sont émis au nom du détenteur nommément désigné, jamais au porteur.</t>
        </is>
      </c>
    </row>
    <row r="51" ht="22" customHeight="1">
      <c r="A51" s="30" t="inlineStr">
        <is>
          <t>ARRÊTÉ DE CAISSE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</row>
    <row r="52" ht="27" customHeight="1">
      <c r="A52" s="12" t="inlineStr">
        <is>
          <t>Date de l'arrêté</t>
        </is>
      </c>
      <c r="B52" s="13" t="n"/>
      <c r="C52" s="20" t="n"/>
      <c r="D52" s="4" t="n"/>
      <c r="E52" s="12" t="inlineStr">
        <is>
          <t>Solde théorique (journal)</t>
        </is>
      </c>
      <c r="F52" s="13" t="n"/>
      <c r="G52" s="22">
        <f>G46</f>
        <v/>
      </c>
      <c r="H52" s="15" t="n"/>
      <c r="I52" s="15" t="n"/>
    </row>
    <row r="53" ht="27" customHeight="1">
      <c r="A53" s="12" t="inlineStr">
        <is>
          <t>Espèces comptées (solde constaté)</t>
        </is>
      </c>
      <c r="B53" s="13" t="n"/>
      <c r="C53" s="16" t="n"/>
      <c r="D53" s="4" t="n"/>
      <c r="E53" s="12" t="inlineStr">
        <is>
          <t>Écart (constaté − théorique)</t>
        </is>
      </c>
      <c r="F53" s="13" t="n"/>
      <c r="G53" s="22">
        <f>IF(C53="","",C53-G52)</f>
        <v/>
      </c>
      <c r="H53" s="15" t="n"/>
      <c r="I53" s="15" t="n"/>
    </row>
    <row r="54" ht="27" customHeight="1">
      <c r="A54" s="12" t="inlineStr">
        <is>
          <t>Montant du renflouement demandé</t>
        </is>
      </c>
      <c r="B54" s="13" t="n"/>
      <c r="C54" s="22">
        <f>IF(C53="","",MAX(0,C12-C53))</f>
        <v/>
      </c>
      <c r="D54" s="15" t="n"/>
      <c r="E54" s="12" t="inlineStr">
        <is>
          <t>Commentaire (obligatoire si écart)</t>
        </is>
      </c>
      <c r="F54" s="13" t="n"/>
      <c r="G54" s="7" t="n"/>
      <c r="H54" s="4" t="n"/>
      <c r="I54" s="4" t="n"/>
    </row>
    <row r="56" ht="26" customHeight="1">
      <c r="A56" s="31" t="inlineStr">
        <is>
          <t>Détenteur de la caisse</t>
        </is>
      </c>
      <c r="B56" s="13" t="n"/>
      <c r="C56" s="13" t="n"/>
      <c r="D56" s="31" t="inlineStr">
        <is>
          <t>Établi par le Responsable Administratif et Financier</t>
        </is>
      </c>
      <c r="E56" s="13" t="n"/>
      <c r="F56" s="13" t="n"/>
      <c r="G56" s="31" t="inlineStr">
        <is>
          <t>Visa du Coordinateur</t>
        </is>
      </c>
      <c r="H56" s="13" t="n"/>
      <c r="I56" s="13" t="n"/>
    </row>
    <row r="57" ht="18" customHeight="1">
      <c r="A57" s="32" t="inlineStr">
        <is>
          <t>Nom :</t>
        </is>
      </c>
      <c r="B57" s="15" t="n"/>
      <c r="C57" s="15" t="n"/>
      <c r="D57" s="32" t="inlineStr">
        <is>
          <t>Nom :</t>
        </is>
      </c>
      <c r="E57" s="15" t="n"/>
      <c r="F57" s="15" t="n"/>
      <c r="G57" s="32" t="inlineStr">
        <is>
          <t>Nom :</t>
        </is>
      </c>
      <c r="H57" s="15" t="n"/>
      <c r="I57" s="15" t="n"/>
    </row>
    <row r="58" ht="58" customHeight="1">
      <c r="A58" s="32" t="inlineStr">
        <is>
          <t>Date et signature :</t>
        </is>
      </c>
      <c r="B58" s="15" t="n"/>
      <c r="C58" s="15" t="n"/>
      <c r="D58" s="32" t="inlineStr">
        <is>
          <t>Date et signature :</t>
        </is>
      </c>
      <c r="E58" s="15" t="n"/>
      <c r="F58" s="15" t="n"/>
      <c r="G58" s="32" t="inlineStr">
        <is>
          <t>Date et signature :</t>
        </is>
      </c>
      <c r="H58" s="15" t="n"/>
      <c r="I58" s="15" t="n"/>
    </row>
    <row r="60">
      <c r="A60" s="7" t="n"/>
      <c r="B60" s="5" t="inlineStr">
        <is>
          <t>Cellule à saisir</t>
        </is>
      </c>
      <c r="E60" s="14" t="n"/>
      <c r="F60" s="5" t="inlineStr">
        <is>
          <t>Formule automatique — ne pas modifier</t>
        </is>
      </c>
    </row>
    <row r="61" ht="26" customHeight="1">
      <c r="A61" s="29" t="inlineStr">
        <is>
          <t>Bousòl · Fiche conforme à la feuille « Suivi Petite Caisse » du formulaire de suivi des dépenses du PAIESC, complétée du n° de pièce, de la ligne budgétaire et de l'arrêté de caisse (guide de procédures, § 4.5 du cahier des charges).</t>
        </is>
      </c>
    </row>
  </sheetData>
  <mergeCells count="56">
    <mergeCell ref="A7:I7"/>
    <mergeCell ref="E12:F12"/>
    <mergeCell ref="G10:I10"/>
    <mergeCell ref="B60:D60"/>
    <mergeCell ref="G57:I57"/>
    <mergeCell ref="A11:B11"/>
    <mergeCell ref="G53:I53"/>
    <mergeCell ref="H1:I1"/>
    <mergeCell ref="A56:C56"/>
    <mergeCell ref="E52:F52"/>
    <mergeCell ref="H4:I4"/>
    <mergeCell ref="A3:F3"/>
    <mergeCell ref="E48:F48"/>
    <mergeCell ref="A57:C57"/>
    <mergeCell ref="F60:I60"/>
    <mergeCell ref="G58:I58"/>
    <mergeCell ref="A54:B54"/>
    <mergeCell ref="C10:D10"/>
    <mergeCell ref="C54:D54"/>
    <mergeCell ref="E10:F10"/>
    <mergeCell ref="H46:I46"/>
    <mergeCell ref="C53:D53"/>
    <mergeCell ref="D56:F56"/>
    <mergeCell ref="D58:F58"/>
    <mergeCell ref="C9:D9"/>
    <mergeCell ref="E9:F9"/>
    <mergeCell ref="A12:B12"/>
    <mergeCell ref="C12:D12"/>
    <mergeCell ref="G54:I54"/>
    <mergeCell ref="C4:F4"/>
    <mergeCell ref="C11:D11"/>
    <mergeCell ref="E11:F11"/>
    <mergeCell ref="A58:C58"/>
    <mergeCell ref="G9:I9"/>
    <mergeCell ref="C1:F1"/>
    <mergeCell ref="G12:I12"/>
    <mergeCell ref="C52:D52"/>
    <mergeCell ref="G56:I56"/>
    <mergeCell ref="G52:I52"/>
    <mergeCell ref="A48:C48"/>
    <mergeCell ref="A46:D46"/>
    <mergeCell ref="A53:B53"/>
    <mergeCell ref="H3:I3"/>
    <mergeCell ref="A4:B4"/>
    <mergeCell ref="G11:I11"/>
    <mergeCell ref="A49:I49"/>
    <mergeCell ref="A51:I51"/>
    <mergeCell ref="A52:B52"/>
    <mergeCell ref="E54:F54"/>
    <mergeCell ref="A10:B10"/>
    <mergeCell ref="E53:F53"/>
    <mergeCell ref="A61:I61"/>
    <mergeCell ref="C2:I2"/>
    <mergeCell ref="A6:I6"/>
    <mergeCell ref="A9:B9"/>
    <mergeCell ref="D57:F57"/>
  </mergeCells>
  <dataValidations count="2">
    <dataValidation sqref="H16:H45" showDropDown="0" showInputMessage="0" showErrorMessage="0" allowBlank="1" errorTitle="Dépense reportée" error="Saisir Oui ou Non" type="list">
      <formula1>"Oui,Non"</formula1>
    </dataValidation>
    <dataValidation sqref="E16:F45" showDropDown="0" showInputMessage="0" showErrorMessage="0" allowBlank="1" errorTitle="Montant" error="Montant positif en gourdes" type="decimal" operator="greaterThanOrEqual">
      <formula1>0</formula1>
    </dataValidation>
  </dataValidations>
  <printOptions horizontalCentered="1"/>
  <pageMargins left="0.5" right="0.5" top="0.5" bottom="0.5" header="0.5" footer="0.5"/>
  <pageSetup orientation="portrait" paperSize="9" fitToHeight="1" fitToWidth="1"/>
  <headerFooter>
    <oddHeader/>
    <oddFooter>&amp;C&amp;8 Petite caisse — &amp;A — page &amp;P/&amp;N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33" t="inlineStr">
        <is>
          <t>Notice d'utilisation</t>
        </is>
      </c>
    </row>
    <row r="3" ht="30" customHeight="1">
      <c r="A3" s="34" t="inlineStr">
        <is>
          <t>Objet</t>
        </is>
      </c>
      <c r="B3" s="35" t="inlineStr">
        <is>
          <t>Journal de la petite caisse en fonds fixe, tenu par le RAF, arrêté à chaque fin de période et avant tout renflouement.</t>
        </is>
      </c>
    </row>
    <row r="4" ht="30" customHeight="1">
      <c r="A4" s="34" t="inlineStr">
        <is>
          <t>Solde initial</t>
        </is>
      </c>
      <c r="B4" s="35" t="inlineStr">
        <is>
          <t>Au premier mois : le fonds fixe (case C12). Ensuite : le solde constaté à l'arrêté précédent, à saisir en G15 (remplace la formule).</t>
        </is>
      </c>
    </row>
    <row r="5" ht="30" customHeight="1">
      <c r="A5" s="34" t="inlineStr">
        <is>
          <t>N° pièce</t>
        </is>
      </c>
      <c r="B5" s="35" t="inlineStr">
        <is>
          <t>Numéro attribué par Bousòl au règlement : rubrique-séquence (ex. 03-014 = 14e pièce de la rubrique Bureau local).</t>
        </is>
      </c>
    </row>
    <row r="6" ht="30" customHeight="1">
      <c r="A6" s="34" t="inlineStr">
        <is>
          <t>Ligne budg.</t>
        </is>
      </c>
      <c r="B6" s="35" t="inlineStr">
        <is>
          <t>Une seule ligne budgétaire par dépense (ex. 3.1, 3.2, 5.2). Une dépense couvrant deux lignes est scindée en deux.</t>
        </is>
      </c>
    </row>
    <row r="7" ht="30" customHeight="1">
      <c r="A7" s="34" t="inlineStr">
        <is>
          <t>Entrée</t>
        </is>
      </c>
      <c r="B7" s="35" t="inlineStr">
        <is>
          <t>Uniquement les renflouements (chèque au nom du détenteur désigné) ou une régularisation d'écart.</t>
        </is>
      </c>
    </row>
    <row r="8" ht="30" customHeight="1">
      <c r="A8" s="34" t="inlineStr">
        <is>
          <t>Sortie</t>
        </is>
      </c>
      <c r="B8" s="35" t="inlineStr">
        <is>
          <t>Dépense en espèces appuyée d'un justificatif et d'un reçu ; jamais au-dessus du plafond unitaire (case G12).</t>
        </is>
      </c>
    </row>
    <row r="9" ht="30" customHeight="1">
      <c r="A9" s="34" t="inlineStr">
        <is>
          <t>Balance</t>
        </is>
      </c>
      <c r="B9" s="35" t="inlineStr">
        <is>
          <t>Calculée automatiquement : solde initial + entrées − sorties.</t>
        </is>
      </c>
    </row>
    <row r="10" ht="30" customHeight="1">
      <c r="A10" s="34" t="inlineStr">
        <is>
          <t>Dép. reportée</t>
        </is>
      </c>
      <c r="B10" s="35" t="inlineStr">
        <is>
          <t>Oui si le justificatif de la dépense n'est pas encore versé à la date du mouvement ; Non sinon.</t>
        </is>
      </c>
    </row>
    <row r="11" ht="30" customHeight="1">
      <c r="A11" s="34" t="inlineStr">
        <is>
          <t>Arrêté de caisse</t>
        </is>
      </c>
      <c r="B11" s="35" t="inlineStr">
        <is>
          <t>Compter les espèces, saisir le solde constaté ; l'écart et le renflouement demandé (fonds fixe − constaté) se calculent. Un écart impose un commentaire.</t>
        </is>
      </c>
    </row>
    <row r="12" ht="30" customHeight="1">
      <c r="A12" s="34" t="inlineStr">
        <is>
          <t>Signatures</t>
        </is>
      </c>
      <c r="B12" s="35" t="inlineStr">
        <is>
          <t>Détenteur, RAF (établit), Coordinateur (visa). En régime papier : trois exemplaires, un pour l'organisation, deux pour le bailleur.</t>
        </is>
      </c>
    </row>
  </sheetData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Bousòl - DÉVELOPPEMENT ET DYNAMISME</dc:creator>
  <dc:title>Fiche de suivi - Petite caisse</dc:title>
  <dcterms:created xsi:type="dcterms:W3CDTF">2026-08-25T18:40:17Z</dcterms:created>
  <dcterms:modified xsi:type="dcterms:W3CDTF">2026-08-25T18:40:17Z</dcterms:modified>
</cp:coreProperties>
</file>